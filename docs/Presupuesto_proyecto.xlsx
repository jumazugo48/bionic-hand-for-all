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mel\Documents\Mis_Documentos\Escuela\EIDFS\7mo\proyecto\protesis\"/>
    </mc:Choice>
  </mc:AlternateContent>
  <xr:revisionPtr revIDLastSave="0" documentId="13_ncr:1_{97268D10-8430-49F6-A97B-8A6E8C5DF281}" xr6:coauthVersionLast="47" xr6:coauthVersionMax="47" xr10:uidLastSave="{00000000-0000-0000-0000-000000000000}"/>
  <bookViews>
    <workbookView xWindow="-120" yWindow="-120" windowWidth="29040" windowHeight="15720" xr2:uid="{F4597067-84F9-4DC1-9A27-35DF04B04CA7}"/>
  </bookViews>
  <sheets>
    <sheet name="Hoja1" sheetId="1" r:id="rId1"/>
    <sheet name="Hoja2" sheetId="2" r:id="rId2"/>
  </sheets>
  <definedNames>
    <definedName name="USD____ARS">Hoja1!$B$3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F30" i="1" s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29" i="1"/>
  <c r="F29" i="1" s="1"/>
  <c r="D28" i="1"/>
  <c r="F28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30" i="2" l="1"/>
  <c r="F31" i="1"/>
</calcChain>
</file>

<file path=xl/sharedStrings.xml><?xml version="1.0" encoding="utf-8"?>
<sst xmlns="http://schemas.openxmlformats.org/spreadsheetml/2006/main" count="72" uniqueCount="44">
  <si>
    <t>Nombre</t>
  </si>
  <si>
    <t>Costo por unidad</t>
  </si>
  <si>
    <t>Cantidad requerida</t>
  </si>
  <si>
    <t>Costo final</t>
  </si>
  <si>
    <r>
      <t xml:space="preserve">Este es un presupuesto tentativo de los costos totales del </t>
    </r>
    <r>
      <rPr>
        <b/>
        <sz val="11"/>
        <color theme="1"/>
        <rFont val="Aptos Narrow"/>
        <family val="2"/>
        <scheme val="minor"/>
      </rPr>
      <t>proyecto</t>
    </r>
    <r>
      <rPr>
        <sz val="11"/>
        <color theme="1"/>
        <rFont val="Aptos Narrow"/>
        <family val="2"/>
        <scheme val="minor"/>
      </rPr>
      <t xml:space="preserve"> (es decir, este valor incluye recursos que pueden no ser incluidos en el costo final del objeto debido a pruebas y perfeccionamiento).</t>
    </r>
  </si>
  <si>
    <t>Moneda</t>
  </si>
  <si>
    <t>Costo por unidad en ARS</t>
  </si>
  <si>
    <t>USD -&gt; ARS</t>
  </si>
  <si>
    <t>TL074 (10pcs/lote)</t>
  </si>
  <si>
    <t>usd</t>
  </si>
  <si>
    <t>Electrodos</t>
  </si>
  <si>
    <t>ars</t>
  </si>
  <si>
    <t>AD620</t>
  </si>
  <si>
    <t>Total</t>
  </si>
  <si>
    <t>1kg PETG</t>
  </si>
  <si>
    <t>hilo de pesca</t>
  </si>
  <si>
    <t>Step Down LM2596</t>
  </si>
  <si>
    <t>2S BMS</t>
  </si>
  <si>
    <t>3S BMS</t>
  </si>
  <si>
    <t>PWM DC Motor Vibrador</t>
  </si>
  <si>
    <t>GA12-N20</t>
  </si>
  <si>
    <t>PCA9685</t>
  </si>
  <si>
    <t>L298N Module double H-Bridge</t>
  </si>
  <si>
    <t>AS5600 Encoder</t>
  </si>
  <si>
    <t>ADS1115</t>
  </si>
  <si>
    <t>ESP32-C3</t>
  </si>
  <si>
    <t>Multi-Cell Charger</t>
  </si>
  <si>
    <t>Clavos 2mmØ</t>
  </si>
  <si>
    <t>Tornillo-Tuerca</t>
  </si>
  <si>
    <t>Costos extra electrónica</t>
  </si>
  <si>
    <t>Cable botón para electrodos</t>
  </si>
  <si>
    <t>Celdas Samsung 3500mAh</t>
  </si>
  <si>
    <t>Varilla 8mmØ Acero 1045 1m</t>
  </si>
  <si>
    <t>PCB virgen 10x10cm</t>
  </si>
  <si>
    <t>Resistencias 1/4W</t>
  </si>
  <si>
    <t>Diodo 1N4148</t>
  </si>
  <si>
    <t>1 metro de cable AWG22</t>
  </si>
  <si>
    <t>Trimpot 20K</t>
  </si>
  <si>
    <t>Presión Module (2pcs/lote)</t>
  </si>
  <si>
    <t>Envío por pedidos (No hay sugerencias) e impuestos</t>
  </si>
  <si>
    <t>Este es un presupuesto aproximado para los gastos en la tienda de electrónica local de donde vivo</t>
  </si>
  <si>
    <t>Capacitor cerámico</t>
  </si>
  <si>
    <t>Capacitor electrolítico 10uF 16V</t>
  </si>
  <si>
    <t>Seguro tipo e 3,2mmØ(interior)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</si>
</sst>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6">
    <dxf>
      <numFmt numFmtId="164" formatCode="[$$-2C0A]\ #,##0.00"/>
    </dxf>
    <dxf>
      <numFmt numFmtId="164" formatCode="[$$-2C0A]\ #,##0.00"/>
    </dxf>
    <dxf>
      <numFmt numFmtId="0" formatCode="General"/>
    </dxf>
    <dxf>
      <numFmt numFmtId="164" formatCode="[$$-2C0A]\ #,##0.00"/>
    </dxf>
    <dxf>
      <numFmt numFmtId="164" formatCode="[$$-2C0A]\ #,##0.00"/>
    </dxf>
    <dxf>
      <numFmt numFmtId="164" formatCode="[$$-2C0A]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7A086-0725-45D0-B50C-9AA5D2AE3B6E}" name="Tabla1" displayName="Tabla1" ref="A5:F31" totalsRowCount="1">
  <autoFilter ref="A5:F30" xr:uid="{F267A086-0725-45D0-B50C-9AA5D2AE3B6E}"/>
  <tableColumns count="6">
    <tableColumn id="1" xr3:uid="{1A6CD40D-7534-4CD8-A29B-6556656F8662}" name="Nombre" totalsRowLabel="Total"/>
    <tableColumn id="2" xr3:uid="{E26DAA03-223B-49E9-B0C7-2C4DD8A7466E}" name="Costo por unidad" dataDxfId="5"/>
    <tableColumn id="5" xr3:uid="{8A2C6713-45A5-41EF-B6A2-4DBEA19C3CF3}" name="Moneda"/>
    <tableColumn id="6" xr3:uid="{CA3590A1-F04D-47AA-96CB-E01B8099D222}" name="Costo por unidad en ARS" dataDxfId="4">
      <calculatedColumnFormula>IF(Tabla1[[#This Row],[Moneda]]="USD", Tabla1[[#This Row],[Costo por unidad]]*USD____ARS, Tabla1[[#This Row],[Costo por unidad]])</calculatedColumnFormula>
    </tableColumn>
    <tableColumn id="3" xr3:uid="{F6E19E98-0986-4CB3-B2CE-AE308993103F}" name="Cantidad requerida"/>
    <tableColumn id="4" xr3:uid="{C6BE5233-990D-4D0A-9012-12D1EBF54C16}" name="Costo final" totalsRowFunction="sum" dataDxfId="3" totalsRowDxfId="0">
      <calculatedColumnFormula>Tabla1[[#This Row],[Cantidad requerida]]*Tabla1[[#This Row],[Costo por unidad en ARS]]</calculatedColumnFormula>
    </tableColumn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D26A71-E9BA-4303-B090-1F3D90BEFDBE}" name="Tabla2" displayName="Tabla2" ref="A3:D30" totalsRowCount="1">
  <autoFilter ref="A3:D29" xr:uid="{0AD26A71-E9BA-4303-B090-1F3D90BEFDBE}"/>
  <tableColumns count="4">
    <tableColumn id="1" xr3:uid="{7260756C-26DB-421B-8BD7-64DEEA819C69}" name="Nombre" totalsRowLabel="Total"/>
    <tableColumn id="2" xr3:uid="{BBD2BF76-F9F4-4130-B50D-23A347D8788E}" name="Costo por unidad"/>
    <tableColumn id="3" xr3:uid="{3CD3F1CD-4B3E-48E1-A818-222EE747289C}" name="Cantidad requerida"/>
    <tableColumn id="4" xr3:uid="{BB8011A9-9711-42B7-AEAE-4A3214DB92CC}" name="Costo final" totalsRowFunction="sum" dataDxfId="2" totalsRowDxfId="1">
      <calculatedColumnFormula>Tabla2[[#This Row],[Costo por unidad]]*Tabla2[[#This Row],[Cantidad requerida]]</calculatedColumnFormula>
    </tableColumn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EFCF-38CB-41B7-831C-9AC606851800}">
  <dimension ref="A1:F31"/>
  <sheetViews>
    <sheetView tabSelected="1" workbookViewId="0">
      <selection activeCell="A31" sqref="A31"/>
    </sheetView>
  </sheetViews>
  <sheetFormatPr baseColWidth="10" defaultRowHeight="15" x14ac:dyDescent="0.25"/>
  <cols>
    <col min="1" max="1" width="39.42578125" customWidth="1"/>
    <col min="2" max="3" width="19.85546875" customWidth="1"/>
    <col min="4" max="4" width="26.85546875" customWidth="1"/>
    <col min="5" max="5" width="22.5703125" customWidth="1"/>
    <col min="6" max="6" width="19" customWidth="1"/>
  </cols>
  <sheetData>
    <row r="1" spans="1:6" x14ac:dyDescent="0.25">
      <c r="A1" t="s">
        <v>4</v>
      </c>
    </row>
    <row r="3" spans="1:6" x14ac:dyDescent="0.25">
      <c r="A3" t="s">
        <v>7</v>
      </c>
      <c r="B3">
        <v>1400</v>
      </c>
    </row>
    <row r="5" spans="1:6" x14ac:dyDescent="0.25">
      <c r="A5" t="s">
        <v>0</v>
      </c>
      <c r="B5" t="s">
        <v>1</v>
      </c>
      <c r="C5" t="s">
        <v>5</v>
      </c>
      <c r="D5" t="s">
        <v>6</v>
      </c>
      <c r="E5" t="s">
        <v>2</v>
      </c>
      <c r="F5" t="s">
        <v>3</v>
      </c>
    </row>
    <row r="6" spans="1:6" x14ac:dyDescent="0.25">
      <c r="A6" t="s">
        <v>8</v>
      </c>
      <c r="B6" s="1">
        <v>1</v>
      </c>
      <c r="C6" t="s">
        <v>9</v>
      </c>
      <c r="D6" s="1">
        <f>IF(Tabla1[[#This Row],[Moneda]]="USD", Tabla1[[#This Row],[Costo por unidad]]*USD____ARS, Tabla1[[#This Row],[Costo por unidad]])</f>
        <v>1400</v>
      </c>
      <c r="E6">
        <v>1</v>
      </c>
      <c r="F6" s="1">
        <f>Tabla1[[#This Row],[Cantidad requerida]]*Tabla1[[#This Row],[Costo por unidad en ARS]]</f>
        <v>1400</v>
      </c>
    </row>
    <row r="7" spans="1:6" x14ac:dyDescent="0.25">
      <c r="A7" t="s">
        <v>10</v>
      </c>
      <c r="B7" s="1">
        <v>400</v>
      </c>
      <c r="C7" t="s">
        <v>11</v>
      </c>
      <c r="D7" s="1">
        <f>IF(Tabla1[[#This Row],[Moneda]]="USD", Tabla1[[#This Row],[Costo por unidad]]*USD____ARS, Tabla1[[#This Row],[Costo por unidad]])</f>
        <v>400</v>
      </c>
      <c r="E7">
        <v>50</v>
      </c>
      <c r="F7" s="1">
        <f>Tabla1[[#This Row],[Cantidad requerida]]*Tabla1[[#This Row],[Costo por unidad en ARS]]</f>
        <v>20000</v>
      </c>
    </row>
    <row r="8" spans="1:6" x14ac:dyDescent="0.25">
      <c r="A8" t="s">
        <v>12</v>
      </c>
      <c r="B8" s="1">
        <v>0.8</v>
      </c>
      <c r="C8" t="s">
        <v>9</v>
      </c>
      <c r="D8" s="1">
        <f>IF(Tabla1[[#This Row],[Moneda]]="USD", Tabla1[[#This Row],[Costo por unidad]]*USD____ARS, Tabla1[[#This Row],[Costo por unidad]])</f>
        <v>1120</v>
      </c>
      <c r="E8">
        <v>4</v>
      </c>
      <c r="F8" s="1">
        <f>Tabla1[[#This Row],[Cantidad requerida]]*Tabla1[[#This Row],[Costo por unidad en ARS]]</f>
        <v>4480</v>
      </c>
    </row>
    <row r="9" spans="1:6" x14ac:dyDescent="0.25">
      <c r="A9" t="s">
        <v>14</v>
      </c>
      <c r="B9" s="1">
        <v>21000</v>
      </c>
      <c r="C9" t="s">
        <v>11</v>
      </c>
      <c r="D9" s="1">
        <f>IF(Tabla1[[#This Row],[Moneda]]="USD", Tabla1[[#This Row],[Costo por unidad]]*USD____ARS, Tabla1[[#This Row],[Costo por unidad]])</f>
        <v>21000</v>
      </c>
      <c r="E9">
        <v>1</v>
      </c>
      <c r="F9" s="1">
        <f>Tabla1[[#This Row],[Cantidad requerida]]*Tabla1[[#This Row],[Costo por unidad en ARS]]</f>
        <v>21000</v>
      </c>
    </row>
    <row r="10" spans="1:6" x14ac:dyDescent="0.25">
      <c r="A10" t="s">
        <v>15</v>
      </c>
      <c r="B10" s="1">
        <v>5000</v>
      </c>
      <c r="C10" t="s">
        <v>11</v>
      </c>
      <c r="D10" s="1">
        <f>IF(Tabla1[[#This Row],[Moneda]]="USD", Tabla1[[#This Row],[Costo por unidad]]*USD____ARS, Tabla1[[#This Row],[Costo por unidad]])</f>
        <v>5000</v>
      </c>
      <c r="E10">
        <v>1</v>
      </c>
      <c r="F10" s="1">
        <f>Tabla1[[#This Row],[Cantidad requerida]]*Tabla1[[#This Row],[Costo por unidad en ARS]]</f>
        <v>5000</v>
      </c>
    </row>
    <row r="11" spans="1:6" x14ac:dyDescent="0.25">
      <c r="A11" t="s">
        <v>16</v>
      </c>
      <c r="B11" s="1">
        <v>0.6</v>
      </c>
      <c r="C11" t="s">
        <v>9</v>
      </c>
      <c r="D11" s="1">
        <f>IF(Tabla1[[#This Row],[Moneda]]="USD", Tabla1[[#This Row],[Costo por unidad]]*USD____ARS, Tabla1[[#This Row],[Costo por unidad]])</f>
        <v>840</v>
      </c>
      <c r="E11">
        <v>1</v>
      </c>
      <c r="F11" s="1">
        <f>Tabla1[[#This Row],[Cantidad requerida]]*Tabla1[[#This Row],[Costo por unidad en ARS]]</f>
        <v>840</v>
      </c>
    </row>
    <row r="12" spans="1:6" x14ac:dyDescent="0.25">
      <c r="A12" t="s">
        <v>17</v>
      </c>
      <c r="B12" s="1">
        <v>0.65</v>
      </c>
      <c r="C12" t="s">
        <v>9</v>
      </c>
      <c r="D12" s="1">
        <f>IF(Tabla1[[#This Row],[Moneda]]="USD", Tabla1[[#This Row],[Costo por unidad]]*USD____ARS, Tabla1[[#This Row],[Costo por unidad]])</f>
        <v>910</v>
      </c>
      <c r="E12">
        <v>0</v>
      </c>
      <c r="F12" s="1">
        <f>Tabla1[[#This Row],[Cantidad requerida]]*Tabla1[[#This Row],[Costo por unidad en ARS]]</f>
        <v>0</v>
      </c>
    </row>
    <row r="13" spans="1:6" x14ac:dyDescent="0.25">
      <c r="A13" t="s">
        <v>18</v>
      </c>
      <c r="B13" s="1">
        <v>0.98</v>
      </c>
      <c r="C13" t="s">
        <v>9</v>
      </c>
      <c r="D13" s="1">
        <f>IF(Tabla1[[#This Row],[Moneda]]="USD", Tabla1[[#This Row],[Costo por unidad]]*USD____ARS, Tabla1[[#This Row],[Costo por unidad]])</f>
        <v>1372</v>
      </c>
      <c r="E13">
        <v>1</v>
      </c>
      <c r="F13" s="1">
        <f>Tabla1[[#This Row],[Cantidad requerida]]*Tabla1[[#This Row],[Costo por unidad en ARS]]</f>
        <v>1372</v>
      </c>
    </row>
    <row r="14" spans="1:6" x14ac:dyDescent="0.25">
      <c r="A14" t="s">
        <v>19</v>
      </c>
      <c r="B14" s="1">
        <v>0.95</v>
      </c>
      <c r="C14" t="s">
        <v>9</v>
      </c>
      <c r="D14" s="1">
        <f>IF(Tabla1[[#This Row],[Moneda]]="USD", Tabla1[[#This Row],[Costo por unidad]]*USD____ARS, Tabla1[[#This Row],[Costo por unidad]])</f>
        <v>1330</v>
      </c>
      <c r="E14">
        <v>2</v>
      </c>
      <c r="F14" s="1">
        <f>Tabla1[[#This Row],[Cantidad requerida]]*Tabla1[[#This Row],[Costo por unidad en ARS]]</f>
        <v>2660</v>
      </c>
    </row>
    <row r="15" spans="1:6" x14ac:dyDescent="0.25">
      <c r="A15" t="s">
        <v>20</v>
      </c>
      <c r="B15" s="1">
        <v>1.95</v>
      </c>
      <c r="C15" t="s">
        <v>9</v>
      </c>
      <c r="D15" s="1">
        <f>IF(Tabla1[[#This Row],[Moneda]]="USD", Tabla1[[#This Row],[Costo por unidad]]*USD____ARS, Tabla1[[#This Row],[Costo por unidad]])</f>
        <v>2730</v>
      </c>
      <c r="E15">
        <v>6</v>
      </c>
      <c r="F15" s="1">
        <f>Tabla1[[#This Row],[Cantidad requerida]]*Tabla1[[#This Row],[Costo por unidad en ARS]]</f>
        <v>16380</v>
      </c>
    </row>
    <row r="16" spans="1:6" x14ac:dyDescent="0.25">
      <c r="A16" t="s">
        <v>21</v>
      </c>
      <c r="B16" s="1">
        <v>2.21</v>
      </c>
      <c r="C16" t="s">
        <v>9</v>
      </c>
      <c r="D16" s="1">
        <f>IF(Tabla1[[#This Row],[Moneda]]="USD", Tabla1[[#This Row],[Costo por unidad]]*USD____ARS, Tabla1[[#This Row],[Costo por unidad]])</f>
        <v>3094</v>
      </c>
      <c r="E16">
        <v>1</v>
      </c>
      <c r="F16" s="1">
        <f>Tabla1[[#This Row],[Cantidad requerida]]*Tabla1[[#This Row],[Costo por unidad en ARS]]</f>
        <v>3094</v>
      </c>
    </row>
    <row r="17" spans="1:6" x14ac:dyDescent="0.25">
      <c r="A17" t="s">
        <v>22</v>
      </c>
      <c r="B17" s="1">
        <v>0.37</v>
      </c>
      <c r="C17" t="s">
        <v>9</v>
      </c>
      <c r="D17" s="1">
        <f>IF(Tabla1[[#This Row],[Moneda]]="USD", Tabla1[[#This Row],[Costo por unidad]]*USD____ARS, Tabla1[[#This Row],[Costo por unidad]])</f>
        <v>518</v>
      </c>
      <c r="E17">
        <v>3</v>
      </c>
      <c r="F17" s="1">
        <f>Tabla1[[#This Row],[Cantidad requerida]]*Tabla1[[#This Row],[Costo por unidad en ARS]]</f>
        <v>1554</v>
      </c>
    </row>
    <row r="18" spans="1:6" x14ac:dyDescent="0.25">
      <c r="A18" t="s">
        <v>23</v>
      </c>
      <c r="B18" s="1">
        <v>1.02</v>
      </c>
      <c r="C18" t="s">
        <v>9</v>
      </c>
      <c r="D18" s="1">
        <f>IF(Tabla1[[#This Row],[Moneda]]="USD", Tabla1[[#This Row],[Costo por unidad]]*USD____ARS, Tabla1[[#This Row],[Costo por unidad]])</f>
        <v>1428</v>
      </c>
      <c r="E18">
        <v>6</v>
      </c>
      <c r="F18" s="1">
        <f>Tabla1[[#This Row],[Cantidad requerida]]*Tabla1[[#This Row],[Costo por unidad en ARS]]</f>
        <v>8568</v>
      </c>
    </row>
    <row r="19" spans="1:6" x14ac:dyDescent="0.25">
      <c r="A19" t="s">
        <v>38</v>
      </c>
      <c r="B19" s="1">
        <v>7.77</v>
      </c>
      <c r="C19" t="s">
        <v>9</v>
      </c>
      <c r="D19" s="1">
        <f>IF(Tabla1[[#This Row],[Moneda]]="USD", Tabla1[[#This Row],[Costo por unidad]]*USD____ARS, Tabla1[[#This Row],[Costo por unidad]])</f>
        <v>10878</v>
      </c>
      <c r="E19">
        <v>1</v>
      </c>
      <c r="F19" s="1">
        <f>Tabla1[[#This Row],[Cantidad requerida]]*Tabla1[[#This Row],[Costo por unidad en ARS]]</f>
        <v>10878</v>
      </c>
    </row>
    <row r="20" spans="1:6" x14ac:dyDescent="0.25">
      <c r="A20" t="s">
        <v>24</v>
      </c>
      <c r="B20" s="1">
        <v>1.39</v>
      </c>
      <c r="C20" t="s">
        <v>9</v>
      </c>
      <c r="D20" s="1">
        <f>IF(Tabla1[[#This Row],[Moneda]]="USD", Tabla1[[#This Row],[Costo por unidad]]*USD____ARS, Tabla1[[#This Row],[Costo por unidad]])</f>
        <v>1945.9999999999998</v>
      </c>
      <c r="E20">
        <v>2</v>
      </c>
      <c r="F20" s="1">
        <f>Tabla1[[#This Row],[Cantidad requerida]]*Tabla1[[#This Row],[Costo por unidad en ARS]]</f>
        <v>3891.9999999999995</v>
      </c>
    </row>
    <row r="21" spans="1:6" x14ac:dyDescent="0.25">
      <c r="A21" t="s">
        <v>25</v>
      </c>
      <c r="B21" s="1">
        <v>1.57</v>
      </c>
      <c r="C21" t="s">
        <v>9</v>
      </c>
      <c r="D21" s="1">
        <f>IF(Tabla1[[#This Row],[Moneda]]="USD", Tabla1[[#This Row],[Costo por unidad]]*USD____ARS, Tabla1[[#This Row],[Costo por unidad]])</f>
        <v>2198</v>
      </c>
      <c r="E21">
        <v>1</v>
      </c>
      <c r="F21" s="1">
        <f>Tabla1[[#This Row],[Cantidad requerida]]*Tabla1[[#This Row],[Costo por unidad en ARS]]</f>
        <v>2198</v>
      </c>
    </row>
    <row r="22" spans="1:6" x14ac:dyDescent="0.25">
      <c r="A22" t="s">
        <v>26</v>
      </c>
      <c r="B22" s="1">
        <v>0.99</v>
      </c>
      <c r="C22" t="s">
        <v>9</v>
      </c>
      <c r="D22" s="1">
        <f>IF(Tabla1[[#This Row],[Moneda]]="USD", Tabla1[[#This Row],[Costo por unidad]]*USD____ARS, Tabla1[[#This Row],[Costo por unidad]])</f>
        <v>1386</v>
      </c>
      <c r="E22">
        <v>1</v>
      </c>
      <c r="F22" s="1">
        <f>Tabla1[[#This Row],[Cantidad requerida]]*Tabla1[[#This Row],[Costo por unidad en ARS]]</f>
        <v>1386</v>
      </c>
    </row>
    <row r="23" spans="1:6" x14ac:dyDescent="0.25">
      <c r="A23" t="s">
        <v>27</v>
      </c>
      <c r="B23" s="1">
        <v>100</v>
      </c>
      <c r="C23" t="s">
        <v>11</v>
      </c>
      <c r="D23" s="1">
        <f>IF(Tabla1[[#This Row],[Moneda]]="USD", Tabla1[[#This Row],[Costo por unidad]]*USD____ARS, Tabla1[[#This Row],[Costo por unidad]])</f>
        <v>100</v>
      </c>
      <c r="E23">
        <v>20</v>
      </c>
      <c r="F23" s="1">
        <f>Tabla1[[#This Row],[Cantidad requerida]]*Tabla1[[#This Row],[Costo por unidad en ARS]]</f>
        <v>2000</v>
      </c>
    </row>
    <row r="24" spans="1:6" x14ac:dyDescent="0.25">
      <c r="A24" t="s">
        <v>28</v>
      </c>
      <c r="B24" s="1">
        <v>500</v>
      </c>
      <c r="C24" t="s">
        <v>11</v>
      </c>
      <c r="D24" s="1">
        <f>IF(Tabla1[[#This Row],[Moneda]]="USD", Tabla1[[#This Row],[Costo por unidad]]*USD____ARS, Tabla1[[#This Row],[Costo por unidad]])</f>
        <v>500</v>
      </c>
      <c r="E24">
        <v>20</v>
      </c>
      <c r="F24" s="1">
        <f>Tabla1[[#This Row],[Cantidad requerida]]*Tabla1[[#This Row],[Costo por unidad en ARS]]</f>
        <v>10000</v>
      </c>
    </row>
    <row r="25" spans="1:6" x14ac:dyDescent="0.25">
      <c r="A25" t="s">
        <v>29</v>
      </c>
      <c r="B25" s="1">
        <v>20000</v>
      </c>
      <c r="C25" t="s">
        <v>11</v>
      </c>
      <c r="D25" s="1">
        <f>IF(Tabla1[[#This Row],[Moneda]]="USD", Tabla1[[#This Row],[Costo por unidad]]*USD____ARS, Tabla1[[#This Row],[Costo por unidad]])</f>
        <v>20000</v>
      </c>
      <c r="E25">
        <v>1</v>
      </c>
      <c r="F25" s="1">
        <f>Tabla1[[#This Row],[Cantidad requerida]]*Tabla1[[#This Row],[Costo por unidad en ARS]]</f>
        <v>20000</v>
      </c>
    </row>
    <row r="26" spans="1:6" x14ac:dyDescent="0.25">
      <c r="A26" t="s">
        <v>30</v>
      </c>
      <c r="B26" s="1">
        <v>2500</v>
      </c>
      <c r="C26" t="s">
        <v>11</v>
      </c>
      <c r="D26" s="1">
        <f>IF(Tabla1[[#This Row],[Moneda]]="USD", Tabla1[[#This Row],[Costo por unidad]]*USD____ARS, Tabla1[[#This Row],[Costo por unidad]])</f>
        <v>2500</v>
      </c>
      <c r="E26">
        <v>2</v>
      </c>
      <c r="F26" s="1">
        <f>Tabla1[[#This Row],[Cantidad requerida]]*Tabla1[[#This Row],[Costo por unidad en ARS]]</f>
        <v>5000</v>
      </c>
    </row>
    <row r="27" spans="1:6" x14ac:dyDescent="0.25">
      <c r="A27" t="s">
        <v>31</v>
      </c>
      <c r="B27" s="1">
        <v>22500</v>
      </c>
      <c r="C27" t="s">
        <v>11</v>
      </c>
      <c r="D27" s="1">
        <f>IF(Tabla1[[#This Row],[Moneda]]="USD", Tabla1[[#This Row],[Costo por unidad]]*USD____ARS, Tabla1[[#This Row],[Costo por unidad]])</f>
        <v>22500</v>
      </c>
      <c r="E27">
        <v>3</v>
      </c>
      <c r="F27" s="1">
        <f>Tabla1[[#This Row],[Cantidad requerida]]*Tabla1[[#This Row],[Costo por unidad en ARS]]</f>
        <v>67500</v>
      </c>
    </row>
    <row r="28" spans="1:6" x14ac:dyDescent="0.25">
      <c r="A28" t="s">
        <v>39</v>
      </c>
      <c r="B28" s="1">
        <v>10000</v>
      </c>
      <c r="C28" t="s">
        <v>11</v>
      </c>
      <c r="D28" s="1">
        <f>IF(Tabla1[[#This Row],[Moneda]]="USD", Tabla1[[#This Row],[Costo por unidad]]*USD____ARS, Tabla1[[#This Row],[Costo por unidad]])</f>
        <v>10000</v>
      </c>
      <c r="E28">
        <v>1</v>
      </c>
      <c r="F28" s="1">
        <f>Tabla1[[#This Row],[Cantidad requerida]]*Tabla1[[#This Row],[Costo por unidad en ARS]]</f>
        <v>10000</v>
      </c>
    </row>
    <row r="29" spans="1:6" x14ac:dyDescent="0.25">
      <c r="A29" t="s">
        <v>32</v>
      </c>
      <c r="B29" s="1">
        <v>1950</v>
      </c>
      <c r="C29" t="s">
        <v>11</v>
      </c>
      <c r="D29" s="1">
        <f>IF(Tabla1[[#This Row],[Moneda]]="USD", Tabla1[[#This Row],[Costo por unidad]]*USD____ARS, Tabla1[[#This Row],[Costo por unidad]])</f>
        <v>1950</v>
      </c>
      <c r="E29">
        <v>1</v>
      </c>
      <c r="F29" s="1">
        <f>Tabla1[[#This Row],[Cantidad requerida]]*Tabla1[[#This Row],[Costo por unidad en ARS]]</f>
        <v>1950</v>
      </c>
    </row>
    <row r="30" spans="1:6" x14ac:dyDescent="0.25">
      <c r="A30" t="s">
        <v>43</v>
      </c>
      <c r="B30" s="1">
        <v>50</v>
      </c>
      <c r="C30" t="s">
        <v>11</v>
      </c>
      <c r="D30" s="1">
        <f>IF(Tabla1[[#This Row],[Moneda]]="USD", Tabla1[[#This Row],[Costo por unidad]]*USD____ARS, Tabla1[[#This Row],[Costo por unidad]])</f>
        <v>50</v>
      </c>
      <c r="E30">
        <v>15</v>
      </c>
      <c r="F30" s="1">
        <f>Tabla1[[#This Row],[Cantidad requerida]]*Tabla1[[#This Row],[Costo por unidad en ARS]]</f>
        <v>750</v>
      </c>
    </row>
    <row r="31" spans="1:6" x14ac:dyDescent="0.25">
      <c r="A31" t="s">
        <v>13</v>
      </c>
      <c r="F31" s="1">
        <f>SUBTOTAL(109,Tabla1[Costo final])</f>
        <v>221902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EF93-146F-45F2-A640-53D7371AF7FB}">
  <dimension ref="A1:D30"/>
  <sheetViews>
    <sheetView workbookViewId="0">
      <selection activeCell="A10" sqref="A10"/>
    </sheetView>
  </sheetViews>
  <sheetFormatPr baseColWidth="10" defaultRowHeight="15" x14ac:dyDescent="0.25"/>
  <cols>
    <col min="1" max="1" width="29.85546875" customWidth="1"/>
    <col min="2" max="2" width="18.28515625" customWidth="1"/>
    <col min="3" max="3" width="20.140625" customWidth="1"/>
    <col min="4" max="4" width="13.5703125" customWidth="1"/>
  </cols>
  <sheetData>
    <row r="1" spans="1:4" x14ac:dyDescent="0.25">
      <c r="A1" t="s">
        <v>40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33</v>
      </c>
      <c r="B4" s="1">
        <v>4400</v>
      </c>
      <c r="C4">
        <v>1</v>
      </c>
      <c r="D4" s="1">
        <f>Tabla2[[#This Row],[Costo por unidad]]*Tabla2[[#This Row],[Cantidad requerida]]</f>
        <v>4400</v>
      </c>
    </row>
    <row r="5" spans="1:4" x14ac:dyDescent="0.25">
      <c r="A5" t="s">
        <v>34</v>
      </c>
      <c r="B5" s="1">
        <v>75</v>
      </c>
      <c r="C5">
        <v>50</v>
      </c>
      <c r="D5" s="1">
        <f>Tabla2[[#This Row],[Costo por unidad]]*Tabla2[[#This Row],[Cantidad requerida]]</f>
        <v>3750</v>
      </c>
    </row>
    <row r="6" spans="1:4" x14ac:dyDescent="0.25">
      <c r="A6" t="s">
        <v>35</v>
      </c>
      <c r="B6" s="1">
        <v>150</v>
      </c>
      <c r="C6">
        <v>4</v>
      </c>
      <c r="D6" s="1">
        <f>Tabla2[[#This Row],[Costo por unidad]]*Tabla2[[#This Row],[Cantidad requerida]]</f>
        <v>600</v>
      </c>
    </row>
    <row r="7" spans="1:4" x14ac:dyDescent="0.25">
      <c r="A7" t="s">
        <v>41</v>
      </c>
      <c r="B7" s="1">
        <v>230</v>
      </c>
      <c r="C7">
        <v>4</v>
      </c>
      <c r="D7" s="1">
        <f>Tabla2[[#This Row],[Costo por unidad]]*Tabla2[[#This Row],[Cantidad requerida]]</f>
        <v>920</v>
      </c>
    </row>
    <row r="8" spans="1:4" x14ac:dyDescent="0.25">
      <c r="A8" t="s">
        <v>42</v>
      </c>
      <c r="B8" s="1">
        <v>250</v>
      </c>
      <c r="C8">
        <v>2</v>
      </c>
      <c r="D8" s="1">
        <f>Tabla2[[#This Row],[Costo por unidad]]*Tabla2[[#This Row],[Cantidad requerida]]</f>
        <v>500</v>
      </c>
    </row>
    <row r="9" spans="1:4" x14ac:dyDescent="0.25">
      <c r="A9" t="s">
        <v>36</v>
      </c>
      <c r="B9" s="1">
        <v>2000</v>
      </c>
      <c r="C9">
        <v>1</v>
      </c>
      <c r="D9" s="1">
        <f>Tabla2[[#This Row],[Costo por unidad]]*Tabla2[[#This Row],[Cantidad requerida]]</f>
        <v>2000</v>
      </c>
    </row>
    <row r="10" spans="1:4" x14ac:dyDescent="0.25">
      <c r="A10" t="s">
        <v>37</v>
      </c>
      <c r="B10" s="1">
        <v>2500</v>
      </c>
      <c r="C10">
        <v>2</v>
      </c>
      <c r="D10" s="1">
        <f>Tabla2[[#This Row],[Costo por unidad]]*Tabla2[[#This Row],[Cantidad requerida]]</f>
        <v>5000</v>
      </c>
    </row>
    <row r="11" spans="1:4" x14ac:dyDescent="0.25">
      <c r="B11" s="1"/>
      <c r="D11" s="1">
        <f>Tabla2[[#This Row],[Costo por unidad]]*Tabla2[[#This Row],[Cantidad requerida]]</f>
        <v>0</v>
      </c>
    </row>
    <row r="12" spans="1:4" x14ac:dyDescent="0.25">
      <c r="B12" s="1"/>
      <c r="D12" s="1">
        <f>Tabla2[[#This Row],[Costo por unidad]]*Tabla2[[#This Row],[Cantidad requerida]]</f>
        <v>0</v>
      </c>
    </row>
    <row r="13" spans="1:4" x14ac:dyDescent="0.25">
      <c r="B13" s="1"/>
      <c r="D13" s="1">
        <f>Tabla2[[#This Row],[Costo por unidad]]*Tabla2[[#This Row],[Cantidad requerida]]</f>
        <v>0</v>
      </c>
    </row>
    <row r="14" spans="1:4" x14ac:dyDescent="0.25">
      <c r="B14" s="1"/>
      <c r="D14" s="1">
        <f>Tabla2[[#This Row],[Costo por unidad]]*Tabla2[[#This Row],[Cantidad requerida]]</f>
        <v>0</v>
      </c>
    </row>
    <row r="15" spans="1:4" x14ac:dyDescent="0.25">
      <c r="B15" s="1"/>
      <c r="D15" s="1">
        <f>Tabla2[[#This Row],[Costo por unidad]]*Tabla2[[#This Row],[Cantidad requerida]]</f>
        <v>0</v>
      </c>
    </row>
    <row r="16" spans="1:4" x14ac:dyDescent="0.25">
      <c r="B16" s="1"/>
      <c r="D16" s="1">
        <f>Tabla2[[#This Row],[Costo por unidad]]*Tabla2[[#This Row],[Cantidad requerida]]</f>
        <v>0</v>
      </c>
    </row>
    <row r="17" spans="1:4" x14ac:dyDescent="0.25">
      <c r="B17" s="1"/>
      <c r="D17" s="1">
        <f>Tabla2[[#This Row],[Costo por unidad]]*Tabla2[[#This Row],[Cantidad requerida]]</f>
        <v>0</v>
      </c>
    </row>
    <row r="18" spans="1:4" x14ac:dyDescent="0.25">
      <c r="B18" s="1"/>
      <c r="D18" s="1">
        <f>Tabla2[[#This Row],[Costo por unidad]]*Tabla2[[#This Row],[Cantidad requerida]]</f>
        <v>0</v>
      </c>
    </row>
    <row r="19" spans="1:4" x14ac:dyDescent="0.25">
      <c r="B19" s="1"/>
      <c r="D19" s="1">
        <f>Tabla2[[#This Row],[Costo por unidad]]*Tabla2[[#This Row],[Cantidad requerida]]</f>
        <v>0</v>
      </c>
    </row>
    <row r="20" spans="1:4" x14ac:dyDescent="0.25">
      <c r="B20" s="1"/>
      <c r="D20" s="1">
        <f>Tabla2[[#This Row],[Costo por unidad]]*Tabla2[[#This Row],[Cantidad requerida]]</f>
        <v>0</v>
      </c>
    </row>
    <row r="21" spans="1:4" x14ac:dyDescent="0.25">
      <c r="B21" s="1"/>
      <c r="D21" s="1">
        <f>Tabla2[[#This Row],[Costo por unidad]]*Tabla2[[#This Row],[Cantidad requerida]]</f>
        <v>0</v>
      </c>
    </row>
    <row r="22" spans="1:4" x14ac:dyDescent="0.25">
      <c r="B22" s="1"/>
      <c r="D22" s="1">
        <f>Tabla2[[#This Row],[Costo por unidad]]*Tabla2[[#This Row],[Cantidad requerida]]</f>
        <v>0</v>
      </c>
    </row>
    <row r="23" spans="1:4" x14ac:dyDescent="0.25">
      <c r="B23" s="1"/>
      <c r="D23" s="1">
        <f>Tabla2[[#This Row],[Costo por unidad]]*Tabla2[[#This Row],[Cantidad requerida]]</f>
        <v>0</v>
      </c>
    </row>
    <row r="24" spans="1:4" x14ac:dyDescent="0.25">
      <c r="B24" s="1"/>
      <c r="D24" s="1">
        <f>Tabla2[[#This Row],[Costo por unidad]]*Tabla2[[#This Row],[Cantidad requerida]]</f>
        <v>0</v>
      </c>
    </row>
    <row r="25" spans="1:4" x14ac:dyDescent="0.25">
      <c r="B25" s="1"/>
      <c r="D25" s="1">
        <f>Tabla2[[#This Row],[Costo por unidad]]*Tabla2[[#This Row],[Cantidad requerida]]</f>
        <v>0</v>
      </c>
    </row>
    <row r="26" spans="1:4" x14ac:dyDescent="0.25">
      <c r="B26" s="1"/>
      <c r="D26" s="1">
        <f>Tabla2[[#This Row],[Costo por unidad]]*Tabla2[[#This Row],[Cantidad requerida]]</f>
        <v>0</v>
      </c>
    </row>
    <row r="27" spans="1:4" x14ac:dyDescent="0.25">
      <c r="B27" s="1"/>
      <c r="D27" s="1">
        <f>Tabla2[[#This Row],[Costo por unidad]]*Tabla2[[#This Row],[Cantidad requerida]]</f>
        <v>0</v>
      </c>
    </row>
    <row r="28" spans="1:4" x14ac:dyDescent="0.25">
      <c r="B28" s="1"/>
      <c r="D28" s="1">
        <f>Tabla2[[#This Row],[Costo por unidad]]*Tabla2[[#This Row],[Cantidad requerida]]</f>
        <v>0</v>
      </c>
    </row>
    <row r="29" spans="1:4" x14ac:dyDescent="0.25">
      <c r="B29" s="1"/>
      <c r="D29" s="1">
        <f>Tabla2[[#This Row],[Costo por unidad]]*Tabla2[[#This Row],[Cantidad requerida]]</f>
        <v>0</v>
      </c>
    </row>
    <row r="30" spans="1:4" x14ac:dyDescent="0.25">
      <c r="A30" t="s">
        <v>13</v>
      </c>
      <c r="D30" s="1">
        <f>SUBTOTAL(109,Tabla2[Costo final])</f>
        <v>17170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USD____ARS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Zumel Gonzalez</dc:creator>
  <cp:lastModifiedBy>Juan Manuel Zumel Gonzalez</cp:lastModifiedBy>
  <dcterms:created xsi:type="dcterms:W3CDTF">2026-05-01T04:10:47Z</dcterms:created>
  <dcterms:modified xsi:type="dcterms:W3CDTF">2026-05-01T21:24:38Z</dcterms:modified>
</cp:coreProperties>
</file>